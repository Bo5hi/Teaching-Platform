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Heat Map" sheetId="3" state="visible" r:id="rId3"/>
    <sheet xmlns:r="http://schemas.openxmlformats.org/officeDocument/2006/relationships" name="POA&amp;M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8102E"/>
      <sz val="16"/>
    </font>
    <font>
      <i val="1"/>
      <color rgb="003B4149"/>
    </font>
    <font>
      <color rgb="006B4E00"/>
      <sz val="9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D1FAE5"/>
      </patternFill>
    </fill>
    <fill>
      <patternFill patternType="solid">
        <fgColor rgb="00FDE68A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D0D4D9"/>
      </left>
      <right style="thin">
        <color rgb="00D0D4D9"/>
      </right>
      <top style="thin">
        <color rgb="00D0D4D9"/>
      </top>
      <bottom style="thin">
        <color rgb="00D0D4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8102E"/>
        </patternFill>
      </fill>
    </dxf>
    <dxf>
      <fill>
        <patternFill patternType="solid">
          <fgColor rgb="00F59E0B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Northgate Supply Co. — Risk Register and POA&amp;M</t>
        </is>
      </c>
    </row>
    <row r="2">
      <c r="A2" s="2" t="inlineStr">
        <is>
          <t>MCCoE Week 10 workbook</t>
        </is>
      </c>
    </row>
    <row r="3">
      <c r="A3" s="3" t="inlineStr">
        <is>
          <t>Fictional scenario for training. Northgate Supply Co. and everyone in it are made up.</t>
        </is>
      </c>
    </row>
    <row r="5">
      <c r="A5" t="inlineStr">
        <is>
          <t>Risk Register: list Northgate's 8–10 most important risks. Each risk names the threat, what it would hurt, and the evidence IDs that show the weakness.</t>
        </is>
      </c>
    </row>
    <row r="6">
      <c r="A6" t="inlineStr">
        <is>
          <t xml:space="preserve">   Pick Likelihood and Impact from the drop-downs. The Rating fills in by itself from the matrix on the Lists sheet.</t>
        </is>
      </c>
    </row>
    <row r="7">
      <c r="A7" t="inlineStr">
        <is>
          <t>Heat Map: counts your risks by likelihood and impact. Use it (or a picture of it) in your report and slide deck.</t>
        </is>
      </c>
    </row>
    <row r="8">
      <c r="A8" t="inlineStr">
        <is>
          <t>POA&amp;M (Plan of Action &amp; Milestones): one row for every question you scored Somewhat (25%) or Not Compliant (0%),</t>
        </is>
      </c>
    </row>
    <row r="9">
      <c r="A9" t="inlineStr">
        <is>
          <t xml:space="preserve">   plus any question scored Mostly (50%) that is behind a Critical or High risk in your Risk Register.</t>
        </is>
      </c>
    </row>
    <row r="10">
      <c r="A10" t="inlineStr">
        <is>
          <t xml:space="preserve">   Say what is missing (with evidence IDs), the action that fixes it, who owns it, and when it should be done (milestone).</t>
        </is>
      </c>
    </row>
    <row r="11">
      <c r="A11" t="inlineStr">
        <is>
          <t>Risk register vs POA&amp;M: the risk register says WHAT could go wrong and how bad it is. The POA&amp;M says WHAT WE WILL DO about each gap, by WHEN.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0" customWidth="1" min="2" max="2"/>
    <col width="18" customWidth="1" min="3" max="3"/>
    <col width="12" customWidth="1" min="4" max="4"/>
    <col width="12" customWidth="1" min="5" max="5"/>
    <col width="11" customWidth="1" min="6" max="6"/>
    <col width="9" customWidth="1" min="7" max="7"/>
    <col width="18" customWidth="1" min="8" max="8"/>
    <col width="12" customWidth="1" min="9" max="9"/>
  </cols>
  <sheetData>
    <row r="1">
      <c r="A1" s="4" t="inlineStr">
        <is>
          <t>#</t>
        </is>
      </c>
      <c r="B1" s="4" t="inlineStr">
        <is>
          <t>Risk (threat → what it hurts)</t>
        </is>
      </c>
      <c r="C1" s="4" t="inlineStr">
        <is>
          <t>Evidence IDs</t>
        </is>
      </c>
      <c r="D1" s="4" t="inlineStr">
        <is>
          <t>Likelihood</t>
        </is>
      </c>
      <c r="E1" s="4" t="inlineStr">
        <is>
          <t>Impact</t>
        </is>
      </c>
      <c r="F1" s="4" t="inlineStr">
        <is>
          <t>Rating</t>
        </is>
      </c>
      <c r="G1" s="4" t="inlineStr">
        <is>
          <t>CSF</t>
        </is>
      </c>
      <c r="H1" s="4" t="inlineStr">
        <is>
          <t>Owner</t>
        </is>
      </c>
      <c r="I1" s="4" t="inlineStr">
        <is>
          <t>Status</t>
        </is>
      </c>
    </row>
    <row r="2">
      <c r="A2" s="5" t="inlineStr">
        <is>
          <t>R1</t>
        </is>
      </c>
      <c r="B2" s="5" t="n"/>
      <c r="C2" s="5" t="n"/>
      <c r="D2" s="5" t="n"/>
      <c r="E2" s="5" t="n"/>
      <c r="F2" s="5">
        <f>IF(OR(D2="",E2=""),"",INDEX(Lists!$B$2:$E$4,MATCH(D2,Lists!$A$2:$A$4,0),MATCH(E2,Lists!$B$1:$E$1,0)))</f>
        <v/>
      </c>
      <c r="G2" s="5" t="n"/>
      <c r="H2" s="5" t="n"/>
      <c r="I2" s="5" t="n"/>
    </row>
    <row r="3">
      <c r="A3" s="5" t="inlineStr">
        <is>
          <t>R2</t>
        </is>
      </c>
      <c r="B3" s="5" t="n"/>
      <c r="C3" s="5" t="n"/>
      <c r="D3" s="5" t="n"/>
      <c r="E3" s="5" t="n"/>
      <c r="F3" s="5">
        <f>IF(OR(D3="",E3=""),"",INDEX(Lists!$B$2:$E$4,MATCH(D3,Lists!$A$2:$A$4,0),MATCH(E3,Lists!$B$1:$E$1,0)))</f>
        <v/>
      </c>
      <c r="G3" s="5" t="n"/>
      <c r="H3" s="5" t="n"/>
      <c r="I3" s="5" t="n"/>
    </row>
    <row r="4">
      <c r="A4" s="5" t="inlineStr">
        <is>
          <t>R3</t>
        </is>
      </c>
      <c r="B4" s="5" t="n"/>
      <c r="C4" s="5" t="n"/>
      <c r="D4" s="5" t="n"/>
      <c r="E4" s="5" t="n"/>
      <c r="F4" s="5">
        <f>IF(OR(D4="",E4=""),"",INDEX(Lists!$B$2:$E$4,MATCH(D4,Lists!$A$2:$A$4,0),MATCH(E4,Lists!$B$1:$E$1,0)))</f>
        <v/>
      </c>
      <c r="G4" s="5" t="n"/>
      <c r="H4" s="5" t="n"/>
      <c r="I4" s="5" t="n"/>
    </row>
    <row r="5">
      <c r="A5" s="5" t="inlineStr">
        <is>
          <t>R4</t>
        </is>
      </c>
      <c r="B5" s="5" t="n"/>
      <c r="C5" s="5" t="n"/>
      <c r="D5" s="5" t="n"/>
      <c r="E5" s="5" t="n"/>
      <c r="F5" s="5">
        <f>IF(OR(D5="",E5=""),"",INDEX(Lists!$B$2:$E$4,MATCH(D5,Lists!$A$2:$A$4,0),MATCH(E5,Lists!$B$1:$E$1,0)))</f>
        <v/>
      </c>
      <c r="G5" s="5" t="n"/>
      <c r="H5" s="5" t="n"/>
      <c r="I5" s="5" t="n"/>
    </row>
    <row r="6">
      <c r="A6" s="5" t="inlineStr">
        <is>
          <t>R5</t>
        </is>
      </c>
      <c r="B6" s="5" t="n"/>
      <c r="C6" s="5" t="n"/>
      <c r="D6" s="5" t="n"/>
      <c r="E6" s="5" t="n"/>
      <c r="F6" s="5">
        <f>IF(OR(D6="",E6=""),"",INDEX(Lists!$B$2:$E$4,MATCH(D6,Lists!$A$2:$A$4,0),MATCH(E6,Lists!$B$1:$E$1,0)))</f>
        <v/>
      </c>
      <c r="G6" s="5" t="n"/>
      <c r="H6" s="5" t="n"/>
      <c r="I6" s="5" t="n"/>
    </row>
    <row r="7">
      <c r="A7" s="5" t="inlineStr">
        <is>
          <t>R6</t>
        </is>
      </c>
      <c r="B7" s="5" t="n"/>
      <c r="C7" s="5" t="n"/>
      <c r="D7" s="5" t="n"/>
      <c r="E7" s="5" t="n"/>
      <c r="F7" s="5">
        <f>IF(OR(D7="",E7=""),"",INDEX(Lists!$B$2:$E$4,MATCH(D7,Lists!$A$2:$A$4,0),MATCH(E7,Lists!$B$1:$E$1,0)))</f>
        <v/>
      </c>
      <c r="G7" s="5" t="n"/>
      <c r="H7" s="5" t="n"/>
      <c r="I7" s="5" t="n"/>
    </row>
    <row r="8">
      <c r="A8" s="5" t="inlineStr">
        <is>
          <t>R7</t>
        </is>
      </c>
      <c r="B8" s="5" t="n"/>
      <c r="C8" s="5" t="n"/>
      <c r="D8" s="5" t="n"/>
      <c r="E8" s="5" t="n"/>
      <c r="F8" s="5">
        <f>IF(OR(D8="",E8=""),"",INDEX(Lists!$B$2:$E$4,MATCH(D8,Lists!$A$2:$A$4,0),MATCH(E8,Lists!$B$1:$E$1,0)))</f>
        <v/>
      </c>
      <c r="G8" s="5" t="n"/>
      <c r="H8" s="5" t="n"/>
      <c r="I8" s="5" t="n"/>
    </row>
    <row r="9">
      <c r="A9" s="5" t="inlineStr">
        <is>
          <t>R8</t>
        </is>
      </c>
      <c r="B9" s="5" t="n"/>
      <c r="C9" s="5" t="n"/>
      <c r="D9" s="5" t="n"/>
      <c r="E9" s="5" t="n"/>
      <c r="F9" s="5">
        <f>IF(OR(D9="",E9=""),"",INDEX(Lists!$B$2:$E$4,MATCH(D9,Lists!$A$2:$A$4,0),MATCH(E9,Lists!$B$1:$E$1,0)))</f>
        <v/>
      </c>
      <c r="G9" s="5" t="n"/>
      <c r="H9" s="5" t="n"/>
      <c r="I9" s="5" t="n"/>
    </row>
    <row r="10">
      <c r="A10" s="5" t="inlineStr">
        <is>
          <t>R9</t>
        </is>
      </c>
      <c r="B10" s="5" t="n"/>
      <c r="C10" s="5" t="n"/>
      <c r="D10" s="5" t="n"/>
      <c r="E10" s="5" t="n"/>
      <c r="F10" s="5">
        <f>IF(OR(D10="",E10=""),"",INDEX(Lists!$B$2:$E$4,MATCH(D10,Lists!$A$2:$A$4,0),MATCH(E10,Lists!$B$1:$E$1,0)))</f>
        <v/>
      </c>
      <c r="G10" s="5" t="n"/>
      <c r="H10" s="5" t="n"/>
      <c r="I10" s="5" t="n"/>
    </row>
    <row r="11">
      <c r="A11" s="5" t="inlineStr">
        <is>
          <t>R10</t>
        </is>
      </c>
      <c r="B11" s="5" t="n"/>
      <c r="C11" s="5" t="n"/>
      <c r="D11" s="5" t="n"/>
      <c r="E11" s="5" t="n"/>
      <c r="F11" s="5">
        <f>IF(OR(D11="",E11=""),"",INDEX(Lists!$B$2:$E$4,MATCH(D11,Lists!$A$2:$A$4,0),MATCH(E11,Lists!$B$1:$E$1,0)))</f>
        <v/>
      </c>
      <c r="G11" s="5" t="n"/>
      <c r="H11" s="5" t="n"/>
      <c r="I11" s="5" t="n"/>
    </row>
    <row r="12">
      <c r="A12" s="5" t="inlineStr">
        <is>
          <t>R11</t>
        </is>
      </c>
      <c r="B12" s="5" t="n"/>
      <c r="C12" s="5" t="n"/>
      <c r="D12" s="5" t="n"/>
      <c r="E12" s="5" t="n"/>
      <c r="F12" s="5">
        <f>IF(OR(D12="",E12=""),"",INDEX(Lists!$B$2:$E$4,MATCH(D12,Lists!$A$2:$A$4,0),MATCH(E12,Lists!$B$1:$E$1,0)))</f>
        <v/>
      </c>
      <c r="G12" s="5" t="n"/>
      <c r="H12" s="5" t="n"/>
      <c r="I12" s="5" t="n"/>
    </row>
    <row r="13">
      <c r="A13" s="5" t="inlineStr">
        <is>
          <t>R12</t>
        </is>
      </c>
      <c r="B13" s="5" t="n"/>
      <c r="C13" s="5" t="n"/>
      <c r="D13" s="5" t="n"/>
      <c r="E13" s="5" t="n"/>
      <c r="F13" s="5">
        <f>IF(OR(D13="",E13=""),"",INDEX(Lists!$B$2:$E$4,MATCH(D13,Lists!$A$2:$A$4,0),MATCH(E13,Lists!$B$1:$E$1,0)))</f>
        <v/>
      </c>
      <c r="G13" s="5" t="n"/>
      <c r="H13" s="5" t="n"/>
      <c r="I13" s="5" t="n"/>
    </row>
  </sheetData>
  <conditionalFormatting sqref="F2:F1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3">
    <dataValidation sqref="D2 D3 D4 D5 D6 D7 D8 D9 D10 D11 D12 D13" showDropDown="0" showInputMessage="0" showErrorMessage="0" allowBlank="1" type="list">
      <formula1>=Lists!$A$2:$A$4</formula1>
    </dataValidation>
    <dataValidation sqref="E2 E3 E4 E5 E6 E7 E8 E9 E10 E11 E12 E13" showDropDown="0" showInputMessage="0" showErrorMessage="0" allowBlank="1" type="list">
      <formula1>=Lists!$B$1:$E$1</formula1>
    </dataValidation>
    <dataValidation sqref="I2 I3 I4 I5 I6 I7 I8 I9 I10 I11 I12 I13" showDropDown="0" showInputMessage="0" showErrorMessage="0" allowBlank="1" type="list">
      <formula1>=Lists!$A$16:$A$18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Risk Heat Map (Likelihood × Impact)</t>
        </is>
      </c>
    </row>
    <row r="2">
      <c r="A2" s="2" t="inlineStr">
        <is>
          <t>Each cell counts the risks in your Risk Register with that likelihood and impact.</t>
        </is>
      </c>
    </row>
    <row r="3">
      <c r="A3" s="3" t="inlineStr">
        <is>
          <t>Fictional scenario for training. Northgate Supply Co. and everyone in it are made up.</t>
        </is>
      </c>
    </row>
    <row r="5">
      <c r="A5" s="4" t="inlineStr">
        <is>
          <t>Likelihood \ Impact</t>
        </is>
      </c>
      <c r="B5" s="4" t="inlineStr">
        <is>
          <t>Minor</t>
        </is>
      </c>
      <c r="C5" s="4" t="inlineStr">
        <is>
          <t>Moderate</t>
        </is>
      </c>
      <c r="D5" s="4" t="inlineStr">
        <is>
          <t>Major</t>
        </is>
      </c>
      <c r="E5" s="4" t="inlineStr">
        <is>
          <t>Severe</t>
        </is>
      </c>
    </row>
    <row r="6" ht="40" customHeight="1">
      <c r="A6" s="6" t="inlineStr">
        <is>
          <t>Likely</t>
        </is>
      </c>
      <c r="B6" s="7">
        <f>COUNTIFS('Risk Register'!$D$2:$D$13,"Likely",'Risk Register'!$E$2:$E$13,"Minor")</f>
        <v/>
      </c>
      <c r="C6" s="8">
        <f>COUNTIFS('Risk Register'!$D$2:$D$13,"Likely",'Risk Register'!$E$2:$E$13,"Moderate")</f>
        <v/>
      </c>
      <c r="D6" s="8">
        <f>COUNTIFS('Risk Register'!$D$2:$D$13,"Likely",'Risk Register'!$E$2:$E$13,"Major")</f>
        <v/>
      </c>
      <c r="E6" s="9">
        <f>COUNTIFS('Risk Register'!$D$2:$D$13,"Likely",'Risk Register'!$E$2:$E$13,"Severe")</f>
        <v/>
      </c>
    </row>
    <row r="7" ht="40" customHeight="1">
      <c r="A7" s="6" t="inlineStr">
        <is>
          <t>Possible</t>
        </is>
      </c>
      <c r="B7" s="10">
        <f>COUNTIFS('Risk Register'!$D$2:$D$13,"Possible",'Risk Register'!$E$2:$E$13,"Minor")</f>
        <v/>
      </c>
      <c r="C7" s="7">
        <f>COUNTIFS('Risk Register'!$D$2:$D$13,"Possible",'Risk Register'!$E$2:$E$13,"Moderate")</f>
        <v/>
      </c>
      <c r="D7" s="7">
        <f>COUNTIFS('Risk Register'!$D$2:$D$13,"Possible",'Risk Register'!$E$2:$E$13,"Major")</f>
        <v/>
      </c>
      <c r="E7" s="8">
        <f>COUNTIFS('Risk Register'!$D$2:$D$13,"Possible",'Risk Register'!$E$2:$E$13,"Severe")</f>
        <v/>
      </c>
    </row>
    <row r="8" ht="40" customHeight="1">
      <c r="A8" s="6" t="inlineStr">
        <is>
          <t>Unlikely</t>
        </is>
      </c>
      <c r="B8" s="10">
        <f>COUNTIFS('Risk Register'!$D$2:$D$13,"Unlikely",'Risk Register'!$E$2:$E$13,"Minor")</f>
        <v/>
      </c>
      <c r="C8" s="10">
        <f>COUNTIFS('Risk Register'!$D$2:$D$13,"Unlikely",'Risk Register'!$E$2:$E$13,"Moderate")</f>
        <v/>
      </c>
      <c r="D8" s="7">
        <f>COUNTIFS('Risk Register'!$D$2:$D$13,"Unlikely",'Risk Register'!$E$2:$E$13,"Major")</f>
        <v/>
      </c>
      <c r="E8" s="7">
        <f>COUNTIFS('Risk Register'!$D$2:$D$13,"Unlikely",'Risk Register'!$E$2:$E$13,"Severe")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7" customWidth="1" min="3" max="3"/>
    <col width="55" customWidth="1" min="4" max="4"/>
    <col width="50" customWidth="1" min="5" max="5"/>
    <col width="18" customWidth="1" min="6" max="6"/>
    <col width="14" customWidth="1" min="7" max="7"/>
    <col width="9" customWidth="1" min="8" max="8"/>
    <col width="12" customWidth="1" min="9" max="9"/>
  </cols>
  <sheetData>
    <row r="1">
      <c r="A1" s="4" t="inlineStr">
        <is>
          <t>Priority</t>
        </is>
      </c>
      <c r="B1" s="4" t="inlineStr">
        <is>
          <t>CSF</t>
        </is>
      </c>
      <c r="C1" s="4" t="inlineStr">
        <is>
          <t>Q#</t>
        </is>
      </c>
      <c r="D1" s="4" t="inlineStr">
        <is>
          <t>Gap (what is missing, with evidence IDs)</t>
        </is>
      </c>
      <c r="E1" s="4" t="inlineStr">
        <is>
          <t>Recommended action</t>
        </is>
      </c>
      <c r="F1" s="4" t="inlineStr">
        <is>
          <t>Owner</t>
        </is>
      </c>
      <c r="G1" s="4" t="inlineStr">
        <is>
          <t>Milestone</t>
        </is>
      </c>
      <c r="H1" s="4" t="inlineStr">
        <is>
          <t>Effort</t>
        </is>
      </c>
      <c r="I1" s="4" t="inlineStr">
        <is>
          <t>Status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</sheetData>
  <dataValidations count="3">
    <dataValidation sqref="A2 A3 A4 A5 A6 A7 A8 A9 A10 A11 A12 A13 A14 A15 A16 A17 A18 A19 A20 A21 A22 A23 A24 A25 A26 A27 A28 A29 A30 A31" showDropDown="0" showInputMessage="0" showErrorMessage="0" allowBlank="1" type="list">
      <formula1>=Lists!$A$8:$A$10</formula1>
    </dataValidation>
    <dataValidation sqref="H2 H3 H4 H5 H6 H7 H8 H9 H10 H11 H12 H13 H14 H15 H16 H17 H18 H19 H20 H21 H22 H23 H24 H25 H26 H27 H28 H29 H30 H31" showDropDown="0" showInputMessage="0" showErrorMessage="0" allowBlank="1" type="list">
      <formula1>=Lists!$A$12:$A$14</formula1>
    </dataValidation>
    <dataValidation sqref="I2 I3 I4 I5 I6 I7 I8 I9 I10 I11 I12 I13 I14 I15 I16 I17 I18 I19 I20 I21 I22 I23 I24 I25 I26 I27 I28 I29 I30 I31" showDropDown="0" showInputMessage="0" showErrorMessage="0" allowBlank="1" type="list">
      <formula1>=Lists!$A$16:$A$18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Likelihood \ Impact</t>
        </is>
      </c>
      <c r="B1" s="4" t="inlineStr">
        <is>
          <t>Minor</t>
        </is>
      </c>
      <c r="C1" s="4" t="inlineStr">
        <is>
          <t>Moderate</t>
        </is>
      </c>
      <c r="D1" s="4" t="inlineStr">
        <is>
          <t>Major</t>
        </is>
      </c>
      <c r="E1" s="4" t="inlineStr">
        <is>
          <t>Severe</t>
        </is>
      </c>
    </row>
    <row r="2">
      <c r="A2" s="6" t="inlineStr">
        <is>
          <t>Unlikely</t>
        </is>
      </c>
      <c r="B2" s="11" t="inlineStr">
        <is>
          <t>Low</t>
        </is>
      </c>
      <c r="C2" s="11" t="inlineStr">
        <is>
          <t>Low</t>
        </is>
      </c>
      <c r="D2" s="12" t="inlineStr">
        <is>
          <t>Medium</t>
        </is>
      </c>
      <c r="E2" s="12" t="inlineStr">
        <is>
          <t>Medium</t>
        </is>
      </c>
    </row>
    <row r="3">
      <c r="A3" s="6" t="inlineStr">
        <is>
          <t>Possible</t>
        </is>
      </c>
      <c r="B3" s="11" t="inlineStr">
        <is>
          <t>Low</t>
        </is>
      </c>
      <c r="C3" s="12" t="inlineStr">
        <is>
          <t>Medium</t>
        </is>
      </c>
      <c r="D3" s="12" t="inlineStr">
        <is>
          <t>Medium</t>
        </is>
      </c>
      <c r="E3" s="13" t="inlineStr">
        <is>
          <t>High</t>
        </is>
      </c>
    </row>
    <row r="4">
      <c r="A4" s="6" t="inlineStr">
        <is>
          <t>Likely</t>
        </is>
      </c>
      <c r="B4" s="12" t="inlineStr">
        <is>
          <t>Medium</t>
        </is>
      </c>
      <c r="C4" s="13" t="inlineStr">
        <is>
          <t>High</t>
        </is>
      </c>
      <c r="D4" s="13" t="inlineStr">
        <is>
          <t>High</t>
        </is>
      </c>
      <c r="E4" s="14" t="inlineStr">
        <is>
          <t>Critical</t>
        </is>
      </c>
    </row>
    <row r="7">
      <c r="A7" t="inlineStr">
        <is>
          <t>Priority</t>
        </is>
      </c>
    </row>
    <row r="8">
      <c r="A8" t="inlineStr">
        <is>
          <t>High</t>
        </is>
      </c>
    </row>
    <row r="9">
      <c r="A9" t="inlineStr">
        <is>
          <t>Medium</t>
        </is>
      </c>
    </row>
    <row r="10">
      <c r="A10" t="inlineStr">
        <is>
          <t>Low</t>
        </is>
      </c>
    </row>
    <row r="11">
      <c r="A11" t="inlineStr">
        <is>
          <t>Effort</t>
        </is>
      </c>
    </row>
    <row r="12">
      <c r="A12" t="inlineStr">
        <is>
          <t>Low</t>
        </is>
      </c>
    </row>
    <row r="13">
      <c r="A13" t="inlineStr">
        <is>
          <t>Medium</t>
        </is>
      </c>
    </row>
    <row r="14">
      <c r="A14" t="inlineStr">
        <is>
          <t>High</t>
        </is>
      </c>
    </row>
    <row r="15">
      <c r="A15" t="inlineStr">
        <is>
          <t>Status</t>
        </is>
      </c>
    </row>
    <row r="16">
      <c r="A16" t="inlineStr">
        <is>
          <t>Open</t>
        </is>
      </c>
    </row>
    <row r="17">
      <c r="A17" t="inlineStr">
        <is>
          <t>In progress</t>
        </is>
      </c>
    </row>
    <row r="18">
      <c r="A18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2026-09-29T16:55:05Z</dcterms:created>
  <dcterms:modified xmlns:dcterms="http://purl.org/dc/terms/" xmlns:xsi="http://www.w3.org/2001/XMLSchema-instance" xsi:type="dcterms:W3CDTF">2026-09-29T16:55:05Z</dcterms:modified>
</cp:coreProperties>
</file>