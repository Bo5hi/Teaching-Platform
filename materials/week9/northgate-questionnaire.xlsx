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Dashboard" sheetId="2" state="visible" r:id="rId2"/>
    <sheet xmlns:r="http://schemas.openxmlformats.org/officeDocument/2006/relationships" name="Questionnaire" sheetId="3" state="visible" r:id="rId3"/>
    <sheet xmlns:r="http://schemas.openxmlformats.org/officeDocument/2006/relationships" name="Lists"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b val="1"/>
      <color rgb="00C8102E"/>
      <sz val="16"/>
    </font>
    <font>
      <i val="1"/>
      <color rgb="003B4149"/>
    </font>
    <font>
      <color rgb="006B4E00"/>
      <sz val="9"/>
    </font>
    <font>
      <b val="1"/>
      <color rgb="00FFFFFF"/>
    </font>
    <font>
      <b val="1"/>
    </font>
    <font>
      <b val="1"/>
      <color rgb="00C8102E"/>
    </font>
  </fonts>
  <fills count="6">
    <fill>
      <patternFill/>
    </fill>
    <fill>
      <patternFill patternType="gray125"/>
    </fill>
    <fill>
      <patternFill patternType="solid">
        <fgColor rgb="00C8102E"/>
      </patternFill>
    </fill>
    <fill>
      <patternFill patternType="solid">
        <fgColor rgb="00FFFFFF"/>
      </patternFill>
    </fill>
    <fill>
      <patternFill patternType="solid">
        <fgColor rgb="00F6F7F9"/>
      </patternFill>
    </fill>
    <fill>
      <patternFill patternType="solid">
        <fgColor rgb="00EEF1F4"/>
      </patternFill>
    </fill>
  </fills>
  <borders count="2">
    <border>
      <left/>
      <right/>
      <top/>
      <bottom/>
      <diagonal/>
    </border>
    <border>
      <left style="thin">
        <color rgb="00D0D4D9"/>
      </left>
      <right style="thin">
        <color rgb="00D0D4D9"/>
      </right>
      <top style="thin">
        <color rgb="00D0D4D9"/>
      </top>
      <bottom style="thin">
        <color rgb="00D0D4D9"/>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5" fillId="0" borderId="1" pivotButton="0" quotePrefix="0" xfId="0"/>
    <xf numFmtId="0" fontId="0" fillId="5" borderId="1" pivotButton="0" quotePrefix="0" xfId="0"/>
    <xf numFmtId="2" fontId="0" fillId="5" borderId="1" pivotButton="0" quotePrefix="0" xfId="0"/>
    <xf numFmtId="164" fontId="0" fillId="5" borderId="1" pivotButton="0" quotePrefix="0" xfId="0"/>
    <xf numFmtId="0" fontId="6" fillId="0" borderId="1" pivotButton="0" quotePrefix="0" xfId="0"/>
    <xf numFmtId="0" fontId="5" fillId="5" borderId="1" pivotButton="0" quotePrefix="0" xfId="0"/>
    <xf numFmtId="2" fontId="5" fillId="5" borderId="1" pivotButton="0" quotePrefix="0" xfId="0"/>
    <xf numFmtId="9" fontId="0" fillId="0" borderId="0" pivotButton="0" quotePrefix="0" xfId="0"/>
    <xf numFmtId="0" fontId="0" fillId="0" borderId="0"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0" xfId="0">
      <alignment vertical="top" wrapText="1"/>
    </xf>
    <xf numFmtId="9" fontId="0" fillId="0" borderId="1" applyAlignment="1" pivotButton="0" quotePrefix="0" xfId="0">
      <alignment vertical="top" wrapText="1"/>
    </xf>
    <xf numFmtId="2" fontId="0" fillId="0"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dxfs count="5">
    <dxf>
      <fill>
        <patternFill patternType="solid">
          <fgColor rgb="00D1FAE5"/>
        </patternFill>
      </fill>
    </dxf>
    <dxf>
      <fill>
        <patternFill patternType="solid">
          <fgColor rgb="00E6F4EA"/>
        </patternFill>
      </fill>
    </dxf>
    <dxf>
      <fill>
        <patternFill patternType="solid">
          <fgColor rgb="00FEF3C7"/>
        </patternFill>
      </fill>
    </dxf>
    <dxf>
      <fill>
        <patternFill patternType="solid">
          <fgColor rgb="00FDE2C8"/>
        </patternFill>
      </fill>
    </dxf>
    <dxf>
      <fill>
        <patternFill patternType="solid">
          <fgColor rgb="00FBE9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30" customWidth="1" min="1" max="1"/>
  </cols>
  <sheetData>
    <row r="1">
      <c r="A1" s="1" t="inlineStr">
        <is>
          <t>Northgate Supply Co. — NIST CSF 2.0 Assessment Questionnaire</t>
        </is>
      </c>
    </row>
    <row r="2">
      <c r="A2" s="2" t="inlineStr">
        <is>
          <t>MCCoE Week 9 fieldwork workbook</t>
        </is>
      </c>
    </row>
    <row r="3">
      <c r="A3" s="3" t="inlineStr">
        <is>
          <t>Fictional scenario for training. Northgate Supply Co. and everyone in it are made up.</t>
        </is>
      </c>
    </row>
    <row r="5">
      <c r="A5" t="inlineStr">
        <is>
          <t>1. For every question, pick a Response in column F from the drop-down list.</t>
        </is>
      </c>
    </row>
    <row r="6">
      <c r="A6" t="inlineStr">
        <is>
          <t xml:space="preserve">   Fully (100%) = done completely and there is evidence.  Almost (75%) = done, with small gaps.</t>
        </is>
      </c>
    </row>
    <row r="7">
      <c r="A7" t="inlineStr">
        <is>
          <t xml:space="preserve">   Mostly (50%) = partly done.  Somewhat (25%) = started or informal only.  Not Compliant (0%) = not done, or no evidence.</t>
        </is>
      </c>
    </row>
    <row r="8">
      <c r="A8" t="inlineStr">
        <is>
          <t>2. Write the Evidence IDs that support your answer in column I (for example: EV-04, INT-05, SCAN-03).</t>
        </is>
      </c>
    </row>
    <row r="9">
      <c r="A9" t="inlineStr">
        <is>
          <t>3. In column J, write one or two sentences explaining WHY you chose that level.</t>
        </is>
      </c>
    </row>
    <row r="10">
      <c r="A10" t="inlineStr">
        <is>
          <t>4. If what a person told you does not match the documents, trust the evidence, score from the evidence, and write the contradiction in column J.</t>
        </is>
      </c>
    </row>
    <row r="11">
      <c r="A11" t="inlineStr">
        <is>
          <t>5. No evidence means you cannot give credit. 'They said so' alone is not proof.</t>
        </is>
      </c>
    </row>
    <row r="12">
      <c r="A12" t="inlineStr">
        <is>
          <t>6. The Dashboard sheet calculates compliance by NIST CSF function, the CMM maturity score (1 + 4 × compliance), and the hygiene rating.</t>
        </is>
      </c>
    </row>
    <row r="13">
      <c r="A13" t="inlineStr">
        <is>
          <t xml:space="preserve">   Unanswered questions count as 0%, so answer all 41.</t>
        </is>
      </c>
    </row>
    <row r="14">
      <c r="A14" t="inlineStr">
        <is>
          <t>7. Weight (column D) shows how important each question is (3 = lower, 10 = very important). Do not change the weights.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6" customWidth="1" min="1" max="1"/>
    <col width="11" customWidth="1" min="2" max="2"/>
    <col width="11" customWidth="1" min="3" max="3"/>
    <col width="13" customWidth="1" min="4" max="4"/>
    <col width="15" customWidth="1" min="5" max="5"/>
    <col width="14" customWidth="1" min="6" max="6"/>
    <col width="18" customWidth="1" min="7" max="7"/>
    <col width="16" customWidth="1" min="8" max="8"/>
  </cols>
  <sheetData>
    <row r="1">
      <c r="A1" s="1" t="inlineStr">
        <is>
          <t>Assessment Dashboard</t>
        </is>
      </c>
    </row>
    <row r="2">
      <c r="A2" s="2" t="inlineStr">
        <is>
          <t>Calculated from the Questionnaire sheet. Do not type in the grey cells.</t>
        </is>
      </c>
    </row>
    <row r="3">
      <c r="A3" s="3" t="inlineStr">
        <is>
          <t>Fictional scenario for training. Northgate Supply Co. and everyone in it are made up.</t>
        </is>
      </c>
    </row>
    <row r="5">
      <c r="A5" s="4" t="inlineStr">
        <is>
          <t>Function</t>
        </is>
      </c>
      <c r="B5" s="4" t="inlineStr">
        <is>
          <t>Questions</t>
        </is>
      </c>
      <c r="C5" s="4" t="inlineStr">
        <is>
          <t>Answered</t>
        </is>
      </c>
      <c r="D5" s="4" t="inlineStr">
        <is>
          <t>Total Weight</t>
        </is>
      </c>
      <c r="E5" s="4" t="inlineStr">
        <is>
          <t>Weighted Score</t>
        </is>
      </c>
      <c r="F5" s="4" t="inlineStr">
        <is>
          <t>Compliance %</t>
        </is>
      </c>
      <c r="G5" s="4" t="inlineStr">
        <is>
          <t>Maturity (CMM 1–5)</t>
        </is>
      </c>
      <c r="H5" s="4" t="inlineStr">
        <is>
          <t>Hygiene Rating</t>
        </is>
      </c>
    </row>
    <row r="6">
      <c r="A6" s="5" t="inlineStr">
        <is>
          <t>Govern</t>
        </is>
      </c>
      <c r="B6" s="6">
        <f>COUNTIF(Questionnaire!$B$2:$B$42,"Govern")</f>
        <v/>
      </c>
      <c r="C6" s="6">
        <f>COUNTIFS(Questionnaire!$B$2:$B$42,"Govern",Questionnaire!$F$2:$F$42,"&lt;&gt;")</f>
        <v/>
      </c>
      <c r="D6" s="6">
        <f>SUMIF(Questionnaire!$B$2:$B$42,"Govern",Questionnaire!$D$2:$D$42)</f>
        <v/>
      </c>
      <c r="E6" s="7">
        <f>SUMIF(Questionnaire!$B$2:$B$42,"Govern",Questionnaire!$H$2:$H$42)</f>
        <v/>
      </c>
      <c r="F6" s="8">
        <f>IF(D6=0,0,E6/D6)</f>
        <v/>
      </c>
      <c r="G6" s="7">
        <f>1+4*F6</f>
        <v/>
      </c>
      <c r="H6" s="6">
        <f>IF(F6&lt;0.35,"Basic",IF(F6&lt;0.7,"Intermediate","Good"))</f>
        <v/>
      </c>
    </row>
    <row r="7">
      <c r="A7" s="5" t="inlineStr">
        <is>
          <t>Identify</t>
        </is>
      </c>
      <c r="B7" s="6">
        <f>COUNTIF(Questionnaire!$B$2:$B$42,"Identify")</f>
        <v/>
      </c>
      <c r="C7" s="6">
        <f>COUNTIFS(Questionnaire!$B$2:$B$42,"Identify",Questionnaire!$F$2:$F$42,"&lt;&gt;")</f>
        <v/>
      </c>
      <c r="D7" s="6">
        <f>SUMIF(Questionnaire!$B$2:$B$42,"Identify",Questionnaire!$D$2:$D$42)</f>
        <v/>
      </c>
      <c r="E7" s="7">
        <f>SUMIF(Questionnaire!$B$2:$B$42,"Identify",Questionnaire!$H$2:$H$42)</f>
        <v/>
      </c>
      <c r="F7" s="8">
        <f>IF(D7=0,0,E7/D7)</f>
        <v/>
      </c>
      <c r="G7" s="7">
        <f>1+4*F7</f>
        <v/>
      </c>
      <c r="H7" s="6">
        <f>IF(F7&lt;0.35,"Basic",IF(F7&lt;0.7,"Intermediate","Good"))</f>
        <v/>
      </c>
    </row>
    <row r="8">
      <c r="A8" s="5" t="inlineStr">
        <is>
          <t>Protect</t>
        </is>
      </c>
      <c r="B8" s="6">
        <f>COUNTIF(Questionnaire!$B$2:$B$42,"Protect")</f>
        <v/>
      </c>
      <c r="C8" s="6">
        <f>COUNTIFS(Questionnaire!$B$2:$B$42,"Protect",Questionnaire!$F$2:$F$42,"&lt;&gt;")</f>
        <v/>
      </c>
      <c r="D8" s="6">
        <f>SUMIF(Questionnaire!$B$2:$B$42,"Protect",Questionnaire!$D$2:$D$42)</f>
        <v/>
      </c>
      <c r="E8" s="7">
        <f>SUMIF(Questionnaire!$B$2:$B$42,"Protect",Questionnaire!$H$2:$H$42)</f>
        <v/>
      </c>
      <c r="F8" s="8">
        <f>IF(D8=0,0,E8/D8)</f>
        <v/>
      </c>
      <c r="G8" s="7">
        <f>1+4*F8</f>
        <v/>
      </c>
      <c r="H8" s="6">
        <f>IF(F8&lt;0.35,"Basic",IF(F8&lt;0.7,"Intermediate","Good"))</f>
        <v/>
      </c>
    </row>
    <row r="9">
      <c r="A9" s="5" t="inlineStr">
        <is>
          <t>Detect</t>
        </is>
      </c>
      <c r="B9" s="6">
        <f>COUNTIF(Questionnaire!$B$2:$B$42,"Detect")</f>
        <v/>
      </c>
      <c r="C9" s="6">
        <f>COUNTIFS(Questionnaire!$B$2:$B$42,"Detect",Questionnaire!$F$2:$F$42,"&lt;&gt;")</f>
        <v/>
      </c>
      <c r="D9" s="6">
        <f>SUMIF(Questionnaire!$B$2:$B$42,"Detect",Questionnaire!$D$2:$D$42)</f>
        <v/>
      </c>
      <c r="E9" s="7">
        <f>SUMIF(Questionnaire!$B$2:$B$42,"Detect",Questionnaire!$H$2:$H$42)</f>
        <v/>
      </c>
      <c r="F9" s="8">
        <f>IF(D9=0,0,E9/D9)</f>
        <v/>
      </c>
      <c r="G9" s="7">
        <f>1+4*F9</f>
        <v/>
      </c>
      <c r="H9" s="6">
        <f>IF(F9&lt;0.35,"Basic",IF(F9&lt;0.7,"Intermediate","Good"))</f>
        <v/>
      </c>
    </row>
    <row r="10">
      <c r="A10" s="5" t="inlineStr">
        <is>
          <t>Respond</t>
        </is>
      </c>
      <c r="B10" s="6">
        <f>COUNTIF(Questionnaire!$B$2:$B$42,"Respond")</f>
        <v/>
      </c>
      <c r="C10" s="6">
        <f>COUNTIFS(Questionnaire!$B$2:$B$42,"Respond",Questionnaire!$F$2:$F$42,"&lt;&gt;")</f>
        <v/>
      </c>
      <c r="D10" s="6">
        <f>SUMIF(Questionnaire!$B$2:$B$42,"Respond",Questionnaire!$D$2:$D$42)</f>
        <v/>
      </c>
      <c r="E10" s="7">
        <f>SUMIF(Questionnaire!$B$2:$B$42,"Respond",Questionnaire!$H$2:$H$42)</f>
        <v/>
      </c>
      <c r="F10" s="8">
        <f>IF(D10=0,0,E10/D10)</f>
        <v/>
      </c>
      <c r="G10" s="7">
        <f>1+4*F10</f>
        <v/>
      </c>
      <c r="H10" s="6">
        <f>IF(F10&lt;0.35,"Basic",IF(F10&lt;0.7,"Intermediate","Good"))</f>
        <v/>
      </c>
    </row>
    <row r="11">
      <c r="A11" s="5" t="inlineStr">
        <is>
          <t>Recover</t>
        </is>
      </c>
      <c r="B11" s="6">
        <f>COUNTIF(Questionnaire!$B$2:$B$42,"Recover")</f>
        <v/>
      </c>
      <c r="C11" s="6">
        <f>COUNTIFS(Questionnaire!$B$2:$B$42,"Recover",Questionnaire!$F$2:$F$42,"&lt;&gt;")</f>
        <v/>
      </c>
      <c r="D11" s="6">
        <f>SUMIF(Questionnaire!$B$2:$B$42,"Recover",Questionnaire!$D$2:$D$42)</f>
        <v/>
      </c>
      <c r="E11" s="7">
        <f>SUMIF(Questionnaire!$B$2:$B$42,"Recover",Questionnaire!$H$2:$H$42)</f>
        <v/>
      </c>
      <c r="F11" s="8">
        <f>IF(D11=0,0,E11/D11)</f>
        <v/>
      </c>
      <c r="G11" s="7">
        <f>1+4*F11</f>
        <v/>
      </c>
      <c r="H11" s="6">
        <f>IF(F11&lt;0.35,"Basic",IF(F11&lt;0.7,"Intermediate","Good"))</f>
        <v/>
      </c>
    </row>
    <row r="12">
      <c r="A12" s="9" t="inlineStr">
        <is>
          <t>OVERALL</t>
        </is>
      </c>
      <c r="B12" s="10">
        <f>SUM(B6:B11)</f>
        <v/>
      </c>
      <c r="C12" s="10">
        <f>SUM(C6:C11)</f>
        <v/>
      </c>
      <c r="D12" s="10">
        <f>SUM(D6:D11)</f>
        <v/>
      </c>
      <c r="E12" s="11">
        <f>SUM(E6:E11)</f>
        <v/>
      </c>
      <c r="F12" s="8">
        <f>IF(D12=0,0,E12/D12)</f>
        <v/>
      </c>
      <c r="G12" s="7">
        <f>1+4*F12</f>
        <v/>
      </c>
      <c r="H12" s="6">
        <f>IF(F12&lt;0.35,"Basic",IF(F12&lt;0.7,"Intermediate","Good"))</f>
        <v/>
      </c>
    </row>
    <row r="15">
      <c r="A15" s="4" t="inlineStr">
        <is>
          <t>Response</t>
        </is>
      </c>
      <c r="B15" s="4" t="inlineStr">
        <is>
          <t>Count</t>
        </is>
      </c>
      <c r="C15" s="4" t="inlineStr">
        <is>
          <t>Share</t>
        </is>
      </c>
    </row>
    <row r="16">
      <c r="A16" t="inlineStr">
        <is>
          <t>Fully (100%)</t>
        </is>
      </c>
      <c r="B16">
        <f>COUNTIF(Questionnaire!$F$2:$F$42,A16)</f>
        <v/>
      </c>
      <c r="C16" s="12">
        <f>IF($B$12=0,0,B16/$B$12)</f>
        <v/>
      </c>
    </row>
    <row r="17">
      <c r="A17" t="inlineStr">
        <is>
          <t>Almost (75%)</t>
        </is>
      </c>
      <c r="B17">
        <f>COUNTIF(Questionnaire!$F$2:$F$42,A17)</f>
        <v/>
      </c>
      <c r="C17" s="12">
        <f>IF($B$12=0,0,B17/$B$12)</f>
        <v/>
      </c>
    </row>
    <row r="18">
      <c r="A18" t="inlineStr">
        <is>
          <t>Mostly (50%)</t>
        </is>
      </c>
      <c r="B18">
        <f>COUNTIF(Questionnaire!$F$2:$F$42,A18)</f>
        <v/>
      </c>
      <c r="C18" s="12">
        <f>IF($B$12=0,0,B18/$B$12)</f>
        <v/>
      </c>
    </row>
    <row r="19">
      <c r="A19" t="inlineStr">
        <is>
          <t>Somewhat (25%)</t>
        </is>
      </c>
      <c r="B19">
        <f>COUNTIF(Questionnaire!$F$2:$F$42,A19)</f>
        <v/>
      </c>
      <c r="C19" s="12">
        <f>IF($B$12=0,0,B19/$B$12)</f>
        <v/>
      </c>
    </row>
    <row r="20">
      <c r="A20" t="inlineStr">
        <is>
          <t>Not Compliant (0%)</t>
        </is>
      </c>
      <c r="B20">
        <f>COUNTIF(Questionnaire!$F$2:$F$42,A20)</f>
        <v/>
      </c>
      <c r="C20" s="12">
        <f>IF($B$12=0,0,B20/$B$12)</f>
        <v/>
      </c>
    </row>
    <row r="22">
      <c r="A22" s="13" t="inlineStr">
        <is>
          <t>How to read this: Compliance % = weighted score ÷ total weight. Maturity (CMM) = 1 + 4 × compliance, on a 1–5 scale (1 Initial, 2 Repeatable, 3 Defined, 4 Managed, 5 Optimized). Hygiene: Basic under 35%, Intermediate 35–69%, Good 70% and up.</t>
        </is>
      </c>
    </row>
    <row r="23"/>
    <row r="24"/>
  </sheetData>
  <mergeCells count="1">
    <mergeCell ref="A22:H2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11" customWidth="1" min="3" max="3"/>
    <col width="8" customWidth="1" min="4" max="4"/>
    <col width="70" customWidth="1" min="5" max="5"/>
    <col width="20" customWidth="1" min="6" max="6"/>
    <col width="8" customWidth="1" min="7" max="7"/>
    <col width="10" customWidth="1" min="8" max="8"/>
    <col width="20" customWidth="1" min="9" max="9"/>
    <col width="60" customWidth="1" min="10" max="10"/>
  </cols>
  <sheetData>
    <row r="1">
      <c r="A1" s="4" t="inlineStr">
        <is>
          <t>Q#</t>
        </is>
      </c>
      <c r="B1" s="4" t="inlineStr">
        <is>
          <t>Function</t>
        </is>
      </c>
      <c r="C1" s="4" t="inlineStr">
        <is>
          <t>CSF Category</t>
        </is>
      </c>
      <c r="D1" s="4" t="inlineStr">
        <is>
          <t>Weight</t>
        </is>
      </c>
      <c r="E1" s="4" t="inlineStr">
        <is>
          <t>Question</t>
        </is>
      </c>
      <c r="F1" s="4" t="inlineStr">
        <is>
          <t>Response</t>
        </is>
      </c>
      <c r="G1" s="4" t="inlineStr">
        <is>
          <t>Score</t>
        </is>
      </c>
      <c r="H1" s="4" t="inlineStr">
        <is>
          <t>Weighted Score</t>
        </is>
      </c>
      <c r="I1" s="4" t="inlineStr">
        <is>
          <t>Evidence IDs</t>
        </is>
      </c>
      <c r="J1" s="4" t="inlineStr">
        <is>
          <t>Why (notes / contradictions)</t>
        </is>
      </c>
    </row>
    <row r="2">
      <c r="A2" s="14" t="inlineStr">
        <is>
          <t>Q1</t>
        </is>
      </c>
      <c r="B2" s="14" t="inlineStr">
        <is>
          <t>Govern</t>
        </is>
      </c>
      <c r="C2" s="14" t="inlineStr">
        <is>
          <t>GV.OC</t>
        </is>
      </c>
      <c r="D2" s="14" t="n">
        <v>8</v>
      </c>
      <c r="E2" s="14" t="inlineStr">
        <is>
          <t>Does the organization document its mission, its critical business services, and the systems those services depend on, so that security priorities match the business?</t>
        </is>
      </c>
      <c r="F2" s="15" t="n"/>
      <c r="G2" s="16">
        <f>IF(F2="","",VLOOKUP(F2,Lists!$A$2:$B$6,2,FALSE))</f>
        <v/>
      </c>
      <c r="H2" s="17">
        <f>IF(F2="",0,D2*G2)</f>
        <v/>
      </c>
      <c r="I2" s="15" t="n"/>
      <c r="J2" s="15" t="n"/>
    </row>
    <row r="3">
      <c r="A3" s="18" t="inlineStr">
        <is>
          <t>Q2</t>
        </is>
      </c>
      <c r="B3" s="18" t="inlineStr">
        <is>
          <t>Govern</t>
        </is>
      </c>
      <c r="C3" s="18" t="inlineStr">
        <is>
          <t>GV.OC</t>
        </is>
      </c>
      <c r="D3" s="18" t="n">
        <v>5</v>
      </c>
      <c r="E3" s="18" t="inlineStr">
        <is>
          <t>Does the organization identify and document contacts for law enforcement, regulators, its cyber insurer, and legal counsel?</t>
        </is>
      </c>
      <c r="F3" s="15" t="n"/>
      <c r="G3" s="16">
        <f>IF(F3="","",VLOOKUP(F3,Lists!$A$2:$B$6,2,FALSE))</f>
        <v/>
      </c>
      <c r="H3" s="17">
        <f>IF(F3="",0,D3*G3)</f>
        <v/>
      </c>
      <c r="I3" s="15" t="n"/>
      <c r="J3" s="15" t="n"/>
    </row>
    <row r="4">
      <c r="A4" s="14" t="inlineStr">
        <is>
          <t>Q3</t>
        </is>
      </c>
      <c r="B4" s="14" t="inlineStr">
        <is>
          <t>Govern</t>
        </is>
      </c>
      <c r="C4" s="14" t="inlineStr">
        <is>
          <t>GV.RM</t>
        </is>
      </c>
      <c r="D4" s="14" t="n">
        <v>9</v>
      </c>
      <c r="E4" s="14" t="inlineStr">
        <is>
          <t>Does the organization keep a risk register that is reviewed at planned intervals and after major events?</t>
        </is>
      </c>
      <c r="F4" s="15" t="n"/>
      <c r="G4" s="16">
        <f>IF(F4="","",VLOOKUP(F4,Lists!$A$2:$B$6,2,FALSE))</f>
        <v/>
      </c>
      <c r="H4" s="17">
        <f>IF(F4="",0,D4*G4)</f>
        <v/>
      </c>
      <c r="I4" s="15" t="n"/>
      <c r="J4" s="15" t="n"/>
    </row>
    <row r="5">
      <c r="A5" s="18" t="inlineStr">
        <is>
          <t>Q4</t>
        </is>
      </c>
      <c r="B5" s="18" t="inlineStr">
        <is>
          <t>Govern</t>
        </is>
      </c>
      <c r="C5" s="18" t="inlineStr">
        <is>
          <t>GV.RM</t>
        </is>
      </c>
      <c r="D5" s="18" t="n">
        <v>7</v>
      </c>
      <c r="E5" s="18" t="inlineStr">
        <is>
          <t>Has leadership defined and approved how much cyber risk the organization is willing to accept (risk appetite)?</t>
        </is>
      </c>
      <c r="F5" s="15" t="n"/>
      <c r="G5" s="16">
        <f>IF(F5="","",VLOOKUP(F5,Lists!$A$2:$B$6,2,FALSE))</f>
        <v/>
      </c>
      <c r="H5" s="17">
        <f>IF(F5="",0,D5*G5)</f>
        <v/>
      </c>
      <c r="I5" s="15" t="n"/>
      <c r="J5" s="15" t="n"/>
    </row>
    <row r="6">
      <c r="A6" s="14" t="inlineStr">
        <is>
          <t>Q5</t>
        </is>
      </c>
      <c r="B6" s="14" t="inlineStr">
        <is>
          <t>Govern</t>
        </is>
      </c>
      <c r="C6" s="14" t="inlineStr">
        <is>
          <t>GV.RR</t>
        </is>
      </c>
      <c r="D6" s="14" t="n">
        <v>10</v>
      </c>
      <c r="E6" s="14" t="inlineStr">
        <is>
          <t>Has the organization assigned a qualified person with the authority, time, and budget to run the cybersecurity program?</t>
        </is>
      </c>
      <c r="F6" s="15" t="n"/>
      <c r="G6" s="16">
        <f>IF(F6="","",VLOOKUP(F6,Lists!$A$2:$B$6,2,FALSE))</f>
        <v/>
      </c>
      <c r="H6" s="17">
        <f>IF(F6="",0,D6*G6)</f>
        <v/>
      </c>
      <c r="I6" s="15" t="n"/>
      <c r="J6" s="15" t="n"/>
    </row>
    <row r="7">
      <c r="A7" s="18" t="inlineStr">
        <is>
          <t>Q6</t>
        </is>
      </c>
      <c r="B7" s="18" t="inlineStr">
        <is>
          <t>Govern</t>
        </is>
      </c>
      <c r="C7" s="18" t="inlineStr">
        <is>
          <t>GV.OV</t>
        </is>
      </c>
      <c r="D7" s="18" t="n">
        <v>8</v>
      </c>
      <c r="E7" s="18" t="inlineStr">
        <is>
          <t>Does leadership receive regular cybersecurity reports and make decisions based on them?</t>
        </is>
      </c>
      <c r="F7" s="15" t="n"/>
      <c r="G7" s="16">
        <f>IF(F7="","",VLOOKUP(F7,Lists!$A$2:$B$6,2,FALSE))</f>
        <v/>
      </c>
      <c r="H7" s="17">
        <f>IF(F7="",0,D7*G7)</f>
        <v/>
      </c>
      <c r="I7" s="15" t="n"/>
      <c r="J7" s="15" t="n"/>
    </row>
    <row r="8">
      <c r="A8" s="14" t="inlineStr">
        <is>
          <t>Q7</t>
        </is>
      </c>
      <c r="B8" s="14" t="inlineStr">
        <is>
          <t>Govern</t>
        </is>
      </c>
      <c r="C8" s="14" t="inlineStr">
        <is>
          <t>GV.PO</t>
        </is>
      </c>
      <c r="D8" s="14" t="n">
        <v>10</v>
      </c>
      <c r="E8" s="14" t="inlineStr">
        <is>
          <t>Are cybersecurity policies written, approved by leadership, and shared with all staff?</t>
        </is>
      </c>
      <c r="F8" s="15" t="n"/>
      <c r="G8" s="16">
        <f>IF(F8="","",VLOOKUP(F8,Lists!$A$2:$B$6,2,FALSE))</f>
        <v/>
      </c>
      <c r="H8" s="17">
        <f>IF(F8="",0,D8*G8)</f>
        <v/>
      </c>
      <c r="I8" s="15" t="n"/>
      <c r="J8" s="15" t="n"/>
    </row>
    <row r="9">
      <c r="A9" s="18" t="inlineStr">
        <is>
          <t>Q8</t>
        </is>
      </c>
      <c r="B9" s="18" t="inlineStr">
        <is>
          <t>Govern</t>
        </is>
      </c>
      <c r="C9" s="18" t="inlineStr">
        <is>
          <t>GV.PO</t>
        </is>
      </c>
      <c r="D9" s="18" t="n">
        <v>7</v>
      </c>
      <c r="E9" s="18" t="inlineStr">
        <is>
          <t>Are policies reviewed at planned intervals and after significant changes, such as an incident?</t>
        </is>
      </c>
      <c r="F9" s="15" t="n"/>
      <c r="G9" s="16">
        <f>IF(F9="","",VLOOKUP(F9,Lists!$A$2:$B$6,2,FALSE))</f>
        <v/>
      </c>
      <c r="H9" s="17">
        <f>IF(F9="",0,D9*G9)</f>
        <v/>
      </c>
      <c r="I9" s="15" t="n"/>
      <c r="J9" s="15" t="n"/>
    </row>
    <row r="10">
      <c r="A10" s="14" t="inlineStr">
        <is>
          <t>Q9</t>
        </is>
      </c>
      <c r="B10" s="14" t="inlineStr">
        <is>
          <t>Govern</t>
        </is>
      </c>
      <c r="C10" s="14" t="inlineStr">
        <is>
          <t>GV.SC</t>
        </is>
      </c>
      <c r="D10" s="14" t="n">
        <v>8</v>
      </c>
      <c r="E10" s="14" t="inlineStr">
        <is>
          <t>Does the organization keep a current list of vendors and contractors with access to its systems, and review that access?</t>
        </is>
      </c>
      <c r="F10" s="15" t="n"/>
      <c r="G10" s="16">
        <f>IF(F10="","",VLOOKUP(F10,Lists!$A$2:$B$6,2,FALSE))</f>
        <v/>
      </c>
      <c r="H10" s="17">
        <f>IF(F10="",0,D10*G10)</f>
        <v/>
      </c>
      <c r="I10" s="15" t="n"/>
      <c r="J10" s="15" t="n"/>
    </row>
    <row r="11">
      <c r="A11" s="18" t="inlineStr">
        <is>
          <t>Q10</t>
        </is>
      </c>
      <c r="B11" s="18" t="inlineStr">
        <is>
          <t>Govern</t>
        </is>
      </c>
      <c r="C11" s="18" t="inlineStr">
        <is>
          <t>GV.SC</t>
        </is>
      </c>
      <c r="D11" s="18" t="n">
        <v>7</v>
      </c>
      <c r="E11" s="18" t="inlineStr">
        <is>
          <t>Do vendor contracts include security requirements such as MFA, breach notification, and the right to audit?</t>
        </is>
      </c>
      <c r="F11" s="15" t="n"/>
      <c r="G11" s="16">
        <f>IF(F11="","",VLOOKUP(F11,Lists!$A$2:$B$6,2,FALSE))</f>
        <v/>
      </c>
      <c r="H11" s="17">
        <f>IF(F11="",0,D11*G11)</f>
        <v/>
      </c>
      <c r="I11" s="15" t="n"/>
      <c r="J11" s="15" t="n"/>
    </row>
    <row r="12">
      <c r="A12" s="14" t="inlineStr">
        <is>
          <t>Q11</t>
        </is>
      </c>
      <c r="B12" s="14" t="inlineStr">
        <is>
          <t>Identify</t>
        </is>
      </c>
      <c r="C12" s="14" t="inlineStr">
        <is>
          <t>ID.AM</t>
        </is>
      </c>
      <c r="D12" s="14" t="n">
        <v>10</v>
      </c>
      <c r="E12" s="14" t="inlineStr">
        <is>
          <t>Does the organization keep a complete and current inventory of its hardware (servers, network devices, computers)?</t>
        </is>
      </c>
      <c r="F12" s="15" t="n"/>
      <c r="G12" s="16">
        <f>IF(F12="","",VLOOKUP(F12,Lists!$A$2:$B$6,2,FALSE))</f>
        <v/>
      </c>
      <c r="H12" s="17">
        <f>IF(F12="",0,D12*G12)</f>
        <v/>
      </c>
      <c r="I12" s="15" t="n"/>
      <c r="J12" s="15" t="n"/>
    </row>
    <row r="13">
      <c r="A13" s="18" t="inlineStr">
        <is>
          <t>Q12</t>
        </is>
      </c>
      <c r="B13" s="18" t="inlineStr">
        <is>
          <t>Identify</t>
        </is>
      </c>
      <c r="C13" s="18" t="inlineStr">
        <is>
          <t>ID.AM</t>
        </is>
      </c>
      <c r="D13" s="18" t="n">
        <v>8</v>
      </c>
      <c r="E13" s="18" t="inlineStr">
        <is>
          <t>Does the organization keep an inventory of its software and cloud services, including who approved them?</t>
        </is>
      </c>
      <c r="F13" s="15" t="n"/>
      <c r="G13" s="16">
        <f>IF(F13="","",VLOOKUP(F13,Lists!$A$2:$B$6,2,FALSE))</f>
        <v/>
      </c>
      <c r="H13" s="17">
        <f>IF(F13="",0,D13*G13)</f>
        <v/>
      </c>
      <c r="I13" s="15" t="n"/>
      <c r="J13" s="15" t="n"/>
    </row>
    <row r="14">
      <c r="A14" s="14" t="inlineStr">
        <is>
          <t>Q13</t>
        </is>
      </c>
      <c r="B14" s="14" t="inlineStr">
        <is>
          <t>Identify</t>
        </is>
      </c>
      <c r="C14" s="14" t="inlineStr">
        <is>
          <t>ID.AM</t>
        </is>
      </c>
      <c r="D14" s="14" t="n">
        <v>8</v>
      </c>
      <c r="E14" s="14" t="inlineStr">
        <is>
          <t>Does the organization have current network diagrams that show how systems connect and where sensitive data flows?</t>
        </is>
      </c>
      <c r="F14" s="15" t="n"/>
      <c r="G14" s="16">
        <f>IF(F14="","",VLOOKUP(F14,Lists!$A$2:$B$6,2,FALSE))</f>
        <v/>
      </c>
      <c r="H14" s="17">
        <f>IF(F14="",0,D14*G14)</f>
        <v/>
      </c>
      <c r="I14" s="15" t="n"/>
      <c r="J14" s="15" t="n"/>
    </row>
    <row r="15">
      <c r="A15" s="18" t="inlineStr">
        <is>
          <t>Q14</t>
        </is>
      </c>
      <c r="B15" s="18" t="inlineStr">
        <is>
          <t>Identify</t>
        </is>
      </c>
      <c r="C15" s="18" t="inlineStr">
        <is>
          <t>ID.AM</t>
        </is>
      </c>
      <c r="D15" s="18" t="n">
        <v>7</v>
      </c>
      <c r="E15" s="18" t="inlineStr">
        <is>
          <t>Does the organization know where its sensitive data (employee, customer, financial) is stored, and is that data labeled by sensitivity?</t>
        </is>
      </c>
      <c r="F15" s="15" t="n"/>
      <c r="G15" s="16">
        <f>IF(F15="","",VLOOKUP(F15,Lists!$A$2:$B$6,2,FALSE))</f>
        <v/>
      </c>
      <c r="H15" s="17">
        <f>IF(F15="",0,D15*G15)</f>
        <v/>
      </c>
      <c r="I15" s="15" t="n"/>
      <c r="J15" s="15" t="n"/>
    </row>
    <row r="16">
      <c r="A16" s="14" t="inlineStr">
        <is>
          <t>Q15</t>
        </is>
      </c>
      <c r="B16" s="14" t="inlineStr">
        <is>
          <t>Identify</t>
        </is>
      </c>
      <c r="C16" s="14" t="inlineStr">
        <is>
          <t>ID.RA</t>
        </is>
      </c>
      <c r="D16" s="14" t="n">
        <v>9</v>
      </c>
      <c r="E16" s="14" t="inlineStr">
        <is>
          <t>Does the organization scan its systems for vulnerabilities on a regular schedule?</t>
        </is>
      </c>
      <c r="F16" s="15" t="n"/>
      <c r="G16" s="16">
        <f>IF(F16="","",VLOOKUP(F16,Lists!$A$2:$B$6,2,FALSE))</f>
        <v/>
      </c>
      <c r="H16" s="17">
        <f>IF(F16="",0,D16*G16)</f>
        <v/>
      </c>
      <c r="I16" s="15" t="n"/>
      <c r="J16" s="15" t="n"/>
    </row>
    <row r="17">
      <c r="A17" s="18" t="inlineStr">
        <is>
          <t>Q16</t>
        </is>
      </c>
      <c r="B17" s="18" t="inlineStr">
        <is>
          <t>Identify</t>
        </is>
      </c>
      <c r="C17" s="18" t="inlineStr">
        <is>
          <t>ID.RA</t>
        </is>
      </c>
      <c r="D17" s="18" t="n">
        <v>7</v>
      </c>
      <c r="E17" s="18" t="inlineStr">
        <is>
          <t>Does the organization receive threat and vulnerability alerts (for example CISA or vendor advisories) and act on them?</t>
        </is>
      </c>
      <c r="F17" s="15" t="n"/>
      <c r="G17" s="16">
        <f>IF(F17="","",VLOOKUP(F17,Lists!$A$2:$B$6,2,FALSE))</f>
        <v/>
      </c>
      <c r="H17" s="17">
        <f>IF(F17="",0,D17*G17)</f>
        <v/>
      </c>
      <c r="I17" s="15" t="n"/>
      <c r="J17" s="15" t="n"/>
    </row>
    <row r="18">
      <c r="A18" s="14" t="inlineStr">
        <is>
          <t>Q17</t>
        </is>
      </c>
      <c r="B18" s="14" t="inlineStr">
        <is>
          <t>Identify</t>
        </is>
      </c>
      <c r="C18" s="14" t="inlineStr">
        <is>
          <t>ID.IM</t>
        </is>
      </c>
      <c r="D18" s="14" t="n">
        <v>7</v>
      </c>
      <c r="E18" s="14" t="inlineStr">
        <is>
          <t>Are lessons learned from incidents and tests turned into tracked improvements?</t>
        </is>
      </c>
      <c r="F18" s="15" t="n"/>
      <c r="G18" s="16">
        <f>IF(F18="","",VLOOKUP(F18,Lists!$A$2:$B$6,2,FALSE))</f>
        <v/>
      </c>
      <c r="H18" s="17">
        <f>IF(F18="",0,D18*G18)</f>
        <v/>
      </c>
      <c r="I18" s="15" t="n"/>
      <c r="J18" s="15" t="n"/>
    </row>
    <row r="19">
      <c r="A19" s="18" t="inlineStr">
        <is>
          <t>Q18</t>
        </is>
      </c>
      <c r="B19" s="18" t="inlineStr">
        <is>
          <t>Protect</t>
        </is>
      </c>
      <c r="C19" s="18" t="inlineStr">
        <is>
          <t>PR.AA</t>
        </is>
      </c>
      <c r="D19" s="18" t="n">
        <v>10</v>
      </c>
      <c r="E19" s="18" t="inlineStr">
        <is>
          <t>Is multi-factor authentication (MFA) required for all user accounts?</t>
        </is>
      </c>
      <c r="F19" s="15" t="n"/>
      <c r="G19" s="16">
        <f>IF(F19="","",VLOOKUP(F19,Lists!$A$2:$B$6,2,FALSE))</f>
        <v/>
      </c>
      <c r="H19" s="17">
        <f>IF(F19="",0,D19*G19)</f>
        <v/>
      </c>
      <c r="I19" s="15" t="n"/>
      <c r="J19" s="15" t="n"/>
    </row>
    <row r="20">
      <c r="A20" s="14" t="inlineStr">
        <is>
          <t>Q19</t>
        </is>
      </c>
      <c r="B20" s="14" t="inlineStr">
        <is>
          <t>Protect</t>
        </is>
      </c>
      <c r="C20" s="14" t="inlineStr">
        <is>
          <t>PR.AA</t>
        </is>
      </c>
      <c r="D20" s="14" t="n">
        <v>9</v>
      </c>
      <c r="E20" s="14" t="inlineStr">
        <is>
          <t>Is remote and administrative access limited to approved paths (such as a VPN) and protected with MFA?</t>
        </is>
      </c>
      <c r="F20" s="15" t="n"/>
      <c r="G20" s="16">
        <f>IF(F20="","",VLOOKUP(F20,Lists!$A$2:$B$6,2,FALSE))</f>
        <v/>
      </c>
      <c r="H20" s="17">
        <f>IF(F20="",0,D20*G20)</f>
        <v/>
      </c>
      <c r="I20" s="15" t="n"/>
      <c r="J20" s="15" t="n"/>
    </row>
    <row r="21">
      <c r="A21" s="18" t="inlineStr">
        <is>
          <t>Q20</t>
        </is>
      </c>
      <c r="B21" s="18" t="inlineStr">
        <is>
          <t>Protect</t>
        </is>
      </c>
      <c r="C21" s="18" t="inlineStr">
        <is>
          <t>PR.AA</t>
        </is>
      </c>
      <c r="D21" s="18" t="n">
        <v>8</v>
      </c>
      <c r="E21" s="18" t="inlineStr">
        <is>
          <t>Are accounts disabled promptly when employees or contractors leave?</t>
        </is>
      </c>
      <c r="F21" s="15" t="n"/>
      <c r="G21" s="16">
        <f>IF(F21="","",VLOOKUP(F21,Lists!$A$2:$B$6,2,FALSE))</f>
        <v/>
      </c>
      <c r="H21" s="17">
        <f>IF(F21="",0,D21*G21)</f>
        <v/>
      </c>
      <c r="I21" s="15" t="n"/>
      <c r="J21" s="15" t="n"/>
    </row>
    <row r="22">
      <c r="A22" s="14" t="inlineStr">
        <is>
          <t>Q21</t>
        </is>
      </c>
      <c r="B22" s="14" t="inlineStr">
        <is>
          <t>Protect</t>
        </is>
      </c>
      <c r="C22" s="14" t="inlineStr">
        <is>
          <t>PR.AA</t>
        </is>
      </c>
      <c r="D22" s="14" t="n">
        <v>8</v>
      </c>
      <c r="E22" s="14" t="inlineStr">
        <is>
          <t>Are shared or generic accounts prohibited, or tightly controlled where unavoidable?</t>
        </is>
      </c>
      <c r="F22" s="15" t="n"/>
      <c r="G22" s="16">
        <f>IF(F22="","",VLOOKUP(F22,Lists!$A$2:$B$6,2,FALSE))</f>
        <v/>
      </c>
      <c r="H22" s="17">
        <f>IF(F22="",0,D22*G22)</f>
        <v/>
      </c>
      <c r="I22" s="15" t="n"/>
      <c r="J22" s="15" t="n"/>
    </row>
    <row r="23">
      <c r="A23" s="18" t="inlineStr">
        <is>
          <t>Q22</t>
        </is>
      </c>
      <c r="B23" s="18" t="inlineStr">
        <is>
          <t>Protect</t>
        </is>
      </c>
      <c r="C23" s="18" t="inlineStr">
        <is>
          <t>PR.AA</t>
        </is>
      </c>
      <c r="D23" s="18" t="n">
        <v>7</v>
      </c>
      <c r="E23" s="18" t="inlineStr">
        <is>
          <t>Do users work without administrator rights on their own computers (least privilege)?</t>
        </is>
      </c>
      <c r="F23" s="15" t="n"/>
      <c r="G23" s="16">
        <f>IF(F23="","",VLOOKUP(F23,Lists!$A$2:$B$6,2,FALSE))</f>
        <v/>
      </c>
      <c r="H23" s="17">
        <f>IF(F23="",0,D23*G23)</f>
        <v/>
      </c>
      <c r="I23" s="15" t="n"/>
      <c r="J23" s="15" t="n"/>
    </row>
    <row r="24">
      <c r="A24" s="14" t="inlineStr">
        <is>
          <t>Q23</t>
        </is>
      </c>
      <c r="B24" s="14" t="inlineStr">
        <is>
          <t>Protect</t>
        </is>
      </c>
      <c r="C24" s="14" t="inlineStr">
        <is>
          <t>PR.AT</t>
        </is>
      </c>
      <c r="D24" s="14" t="n">
        <v>9</v>
      </c>
      <c r="E24" s="14" t="inlineStr">
        <is>
          <t>Do all staff complete security awareness training at least once a year?</t>
        </is>
      </c>
      <c r="F24" s="15" t="n"/>
      <c r="G24" s="16">
        <f>IF(F24="","",VLOOKUP(F24,Lists!$A$2:$B$6,2,FALSE))</f>
        <v/>
      </c>
      <c r="H24" s="17">
        <f>IF(F24="",0,D24*G24)</f>
        <v/>
      </c>
      <c r="I24" s="15" t="n"/>
      <c r="J24" s="15" t="n"/>
    </row>
    <row r="25">
      <c r="A25" s="18" t="inlineStr">
        <is>
          <t>Q24</t>
        </is>
      </c>
      <c r="B25" s="18" t="inlineStr">
        <is>
          <t>Protect</t>
        </is>
      </c>
      <c r="C25" s="18" t="inlineStr">
        <is>
          <t>PR.DS</t>
        </is>
      </c>
      <c r="D25" s="18" t="n">
        <v>8</v>
      </c>
      <c r="E25" s="18" t="inlineStr">
        <is>
          <t>Are laptops and other portable devices encrypted?</t>
        </is>
      </c>
      <c r="F25" s="15" t="n"/>
      <c r="G25" s="16">
        <f>IF(F25="","",VLOOKUP(F25,Lists!$A$2:$B$6,2,FALSE))</f>
        <v/>
      </c>
      <c r="H25" s="17">
        <f>IF(F25="",0,D25*G25)</f>
        <v/>
      </c>
      <c r="I25" s="15" t="n"/>
      <c r="J25" s="15" t="n"/>
    </row>
    <row r="26">
      <c r="A26" s="14" t="inlineStr">
        <is>
          <t>Q25</t>
        </is>
      </c>
      <c r="B26" s="14" t="inlineStr">
        <is>
          <t>Protect</t>
        </is>
      </c>
      <c r="C26" s="14" t="inlineStr">
        <is>
          <t>PR.DS</t>
        </is>
      </c>
      <c r="D26" s="14" t="n">
        <v>9</v>
      </c>
      <c r="E26" s="14" t="inlineStr">
        <is>
          <t>Is at least one backup copy protected from attackers (offline, offsite, or immutable)?</t>
        </is>
      </c>
      <c r="F26" s="15" t="n"/>
      <c r="G26" s="16">
        <f>IF(F26="","",VLOOKUP(F26,Lists!$A$2:$B$6,2,FALSE))</f>
        <v/>
      </c>
      <c r="H26" s="17">
        <f>IF(F26="",0,D26*G26)</f>
        <v/>
      </c>
      <c r="I26" s="15" t="n"/>
      <c r="J26" s="15" t="n"/>
    </row>
    <row r="27">
      <c r="A27" s="18" t="inlineStr">
        <is>
          <t>Q26</t>
        </is>
      </c>
      <c r="B27" s="18" t="inlineStr">
        <is>
          <t>Protect</t>
        </is>
      </c>
      <c r="C27" s="18" t="inlineStr">
        <is>
          <t>PR.PS</t>
        </is>
      </c>
      <c r="D27" s="18" t="n">
        <v>9</v>
      </c>
      <c r="E27" s="18" t="inlineStr">
        <is>
          <t>Are security updates (patches) for operating systems and software applied on a defined schedule?</t>
        </is>
      </c>
      <c r="F27" s="15" t="n"/>
      <c r="G27" s="16">
        <f>IF(F27="","",VLOOKUP(F27,Lists!$A$2:$B$6,2,FALSE))</f>
        <v/>
      </c>
      <c r="H27" s="17">
        <f>IF(F27="",0,D27*G27)</f>
        <v/>
      </c>
      <c r="I27" s="15" t="n"/>
      <c r="J27" s="15" t="n"/>
    </row>
    <row r="28">
      <c r="A28" s="14" t="inlineStr">
        <is>
          <t>Q27</t>
        </is>
      </c>
      <c r="B28" s="14" t="inlineStr">
        <is>
          <t>Protect</t>
        </is>
      </c>
      <c r="C28" s="14" t="inlineStr">
        <is>
          <t>PR.PS</t>
        </is>
      </c>
      <c r="D28" s="14" t="n">
        <v>8</v>
      </c>
      <c r="E28" s="14" t="inlineStr">
        <is>
          <t>Are systems configured securely, with unused services turned off and default passwords changed?</t>
        </is>
      </c>
      <c r="F28" s="15" t="n"/>
      <c r="G28" s="16">
        <f>IF(F28="","",VLOOKUP(F28,Lists!$A$2:$B$6,2,FALSE))</f>
        <v/>
      </c>
      <c r="H28" s="17">
        <f>IF(F28="",0,D28*G28)</f>
        <v/>
      </c>
      <c r="I28" s="15" t="n"/>
      <c r="J28" s="15" t="n"/>
    </row>
    <row r="29">
      <c r="A29" s="18" t="inlineStr">
        <is>
          <t>Q28</t>
        </is>
      </c>
      <c r="B29" s="18" t="inlineStr">
        <is>
          <t>Protect</t>
        </is>
      </c>
      <c r="C29" s="18" t="inlineStr">
        <is>
          <t>PR.IR</t>
        </is>
      </c>
      <c r="D29" s="18" t="n">
        <v>9</v>
      </c>
      <c r="E29" s="18" t="inlineStr">
        <is>
          <t>Is the network divided into zones, with only needed traffic allowed between them?</t>
        </is>
      </c>
      <c r="F29" s="15" t="n"/>
      <c r="G29" s="16">
        <f>IF(F29="","",VLOOKUP(F29,Lists!$A$2:$B$6,2,FALSE))</f>
        <v/>
      </c>
      <c r="H29" s="17">
        <f>IF(F29="",0,D29*G29)</f>
        <v/>
      </c>
      <c r="I29" s="15" t="n"/>
      <c r="J29" s="15" t="n"/>
    </row>
    <row r="30">
      <c r="A30" s="14" t="inlineStr">
        <is>
          <t>Q29</t>
        </is>
      </c>
      <c r="B30" s="14" t="inlineStr">
        <is>
          <t>Detect</t>
        </is>
      </c>
      <c r="C30" s="14" t="inlineStr">
        <is>
          <t>DE.CM</t>
        </is>
      </c>
      <c r="D30" s="14" t="n">
        <v>10</v>
      </c>
      <c r="E30" s="14" t="inlineStr">
        <is>
          <t>Are logs from key systems collected in one central place and kept long enough to investigate?</t>
        </is>
      </c>
      <c r="F30" s="15" t="n"/>
      <c r="G30" s="16">
        <f>IF(F30="","",VLOOKUP(F30,Lists!$A$2:$B$6,2,FALSE))</f>
        <v/>
      </c>
      <c r="H30" s="17">
        <f>IF(F30="",0,D30*G30)</f>
        <v/>
      </c>
      <c r="I30" s="15" t="n"/>
      <c r="J30" s="15" t="n"/>
    </row>
    <row r="31">
      <c r="A31" s="18" t="inlineStr">
        <is>
          <t>Q30</t>
        </is>
      </c>
      <c r="B31" s="18" t="inlineStr">
        <is>
          <t>Detect</t>
        </is>
      </c>
      <c r="C31" s="18" t="inlineStr">
        <is>
          <t>DE.CM</t>
        </is>
      </c>
      <c r="D31" s="18" t="n">
        <v>9</v>
      </c>
      <c r="E31" s="18" t="inlineStr">
        <is>
          <t>Do alerts fire on key attack activity, such as new admin accounts, privilege changes, or large data transfers?</t>
        </is>
      </c>
      <c r="F31" s="15" t="n"/>
      <c r="G31" s="16">
        <f>IF(F31="","",VLOOKUP(F31,Lists!$A$2:$B$6,2,FALSE))</f>
        <v/>
      </c>
      <c r="H31" s="17">
        <f>IF(F31="",0,D31*G31)</f>
        <v/>
      </c>
      <c r="I31" s="15" t="n"/>
      <c r="J31" s="15" t="n"/>
    </row>
    <row r="32">
      <c r="A32" s="14" t="inlineStr">
        <is>
          <t>Q31</t>
        </is>
      </c>
      <c r="B32" s="14" t="inlineStr">
        <is>
          <t>Detect</t>
        </is>
      </c>
      <c r="C32" s="14" t="inlineStr">
        <is>
          <t>DE.CM</t>
        </is>
      </c>
      <c r="D32" s="14" t="n">
        <v>7</v>
      </c>
      <c r="E32" s="14" t="inlineStr">
        <is>
          <t>Is malware and suspicious activity monitored on every computer and server (antivirus or EDR)?</t>
        </is>
      </c>
      <c r="F32" s="15" t="n"/>
      <c r="G32" s="16">
        <f>IF(F32="","",VLOOKUP(F32,Lists!$A$2:$B$6,2,FALSE))</f>
        <v/>
      </c>
      <c r="H32" s="17">
        <f>IF(F32="",0,D32*G32)</f>
        <v/>
      </c>
      <c r="I32" s="15" t="n"/>
      <c r="J32" s="15" t="n"/>
    </row>
    <row r="33">
      <c r="A33" s="18" t="inlineStr">
        <is>
          <t>Q32</t>
        </is>
      </c>
      <c r="B33" s="18" t="inlineStr">
        <is>
          <t>Detect</t>
        </is>
      </c>
      <c r="C33" s="18" t="inlineStr">
        <is>
          <t>DE.AE</t>
        </is>
      </c>
      <c r="D33" s="18" t="n">
        <v>9</v>
      </c>
      <c r="E33" s="18" t="inlineStr">
        <is>
          <t>Are alerts reviewed and acted on promptly by someone who is responsible for them?</t>
        </is>
      </c>
      <c r="F33" s="15" t="n"/>
      <c r="G33" s="16">
        <f>IF(F33="","",VLOOKUP(F33,Lists!$A$2:$B$6,2,FALSE))</f>
        <v/>
      </c>
      <c r="H33" s="17">
        <f>IF(F33="",0,D33*G33)</f>
        <v/>
      </c>
      <c r="I33" s="15" t="n"/>
      <c r="J33" s="15" t="n"/>
    </row>
    <row r="34">
      <c r="A34" s="14" t="inlineStr">
        <is>
          <t>Q33</t>
        </is>
      </c>
      <c r="B34" s="14" t="inlineStr">
        <is>
          <t>Detect</t>
        </is>
      </c>
      <c r="C34" s="14" t="inlineStr">
        <is>
          <t>DE.AE</t>
        </is>
      </c>
      <c r="D34" s="14" t="n">
        <v>6</v>
      </c>
      <c r="E34" s="14" t="inlineStr">
        <is>
          <t>Does the organization use defined criteria to decide when an event is a security incident?</t>
        </is>
      </c>
      <c r="F34" s="15" t="n"/>
      <c r="G34" s="16">
        <f>IF(F34="","",VLOOKUP(F34,Lists!$A$2:$B$6,2,FALSE))</f>
        <v/>
      </c>
      <c r="H34" s="17">
        <f>IF(F34="",0,D34*G34)</f>
        <v/>
      </c>
      <c r="I34" s="15" t="n"/>
      <c r="J34" s="15" t="n"/>
    </row>
    <row r="35">
      <c r="A35" s="18" t="inlineStr">
        <is>
          <t>Q34</t>
        </is>
      </c>
      <c r="B35" s="18" t="inlineStr">
        <is>
          <t>Respond</t>
        </is>
      </c>
      <c r="C35" s="18" t="inlineStr">
        <is>
          <t>RS.MA</t>
        </is>
      </c>
      <c r="D35" s="18" t="n">
        <v>10</v>
      </c>
      <c r="E35" s="18" t="inlineStr">
        <is>
          <t>Does the organization have an approved incident response plan with named roles and backups?</t>
        </is>
      </c>
      <c r="F35" s="15" t="n"/>
      <c r="G35" s="16">
        <f>IF(F35="","",VLOOKUP(F35,Lists!$A$2:$B$6,2,FALSE))</f>
        <v/>
      </c>
      <c r="H35" s="17">
        <f>IF(F35="",0,D35*G35)</f>
        <v/>
      </c>
      <c r="I35" s="15" t="n"/>
      <c r="J35" s="15" t="n"/>
    </row>
    <row r="36">
      <c r="A36" s="14" t="inlineStr">
        <is>
          <t>Q35</t>
        </is>
      </c>
      <c r="B36" s="14" t="inlineStr">
        <is>
          <t>Respond</t>
        </is>
      </c>
      <c r="C36" s="14" t="inlineStr">
        <is>
          <t>RS.MA</t>
        </is>
      </c>
      <c r="D36" s="14" t="n">
        <v>8</v>
      </c>
      <c r="E36" s="14" t="inlineStr">
        <is>
          <t>Is the incident response plan tested, for example with a tabletop exercise, at least once a year?</t>
        </is>
      </c>
      <c r="F36" s="15" t="n"/>
      <c r="G36" s="16">
        <f>IF(F36="","",VLOOKUP(F36,Lists!$A$2:$B$6,2,FALSE))</f>
        <v/>
      </c>
      <c r="H36" s="17">
        <f>IF(F36="",0,D36*G36)</f>
        <v/>
      </c>
      <c r="I36" s="15" t="n"/>
      <c r="J36" s="15" t="n"/>
    </row>
    <row r="37">
      <c r="A37" s="18" t="inlineStr">
        <is>
          <t>Q36</t>
        </is>
      </c>
      <c r="B37" s="18" t="inlineStr">
        <is>
          <t>Respond</t>
        </is>
      </c>
      <c r="C37" s="18" t="inlineStr">
        <is>
          <t>RS.CO</t>
        </is>
      </c>
      <c r="D37" s="18" t="n">
        <v>8</v>
      </c>
      <c r="E37" s="18" t="inlineStr">
        <is>
          <t>Does the organization know how and when to notify customers, regulators, insurers, and law enforcement after a breach, as state law requires?</t>
        </is>
      </c>
      <c r="F37" s="15" t="n"/>
      <c r="G37" s="16">
        <f>IF(F37="","",VLOOKUP(F37,Lists!$A$2:$B$6,2,FALSE))</f>
        <v/>
      </c>
      <c r="H37" s="17">
        <f>IF(F37="",0,D37*G37)</f>
        <v/>
      </c>
      <c r="I37" s="15" t="n"/>
      <c r="J37" s="15" t="n"/>
    </row>
    <row r="38">
      <c r="A38" s="14" t="inlineStr">
        <is>
          <t>Q37</t>
        </is>
      </c>
      <c r="B38" s="14" t="inlineStr">
        <is>
          <t>Respond</t>
        </is>
      </c>
      <c r="C38" s="14" t="inlineStr">
        <is>
          <t>RS.AN</t>
        </is>
      </c>
      <c r="D38" s="14" t="n">
        <v>7</v>
      </c>
      <c r="E38" s="14" t="inlineStr">
        <is>
          <t>During an incident, is evidence preserved and analyzed to understand what happened?</t>
        </is>
      </c>
      <c r="F38" s="15" t="n"/>
      <c r="G38" s="16">
        <f>IF(F38="","",VLOOKUP(F38,Lists!$A$2:$B$6,2,FALSE))</f>
        <v/>
      </c>
      <c r="H38" s="17">
        <f>IF(F38="",0,D38*G38)</f>
        <v/>
      </c>
      <c r="I38" s="15" t="n"/>
      <c r="J38" s="15" t="n"/>
    </row>
    <row r="39">
      <c r="A39" s="18" t="inlineStr">
        <is>
          <t>Q38</t>
        </is>
      </c>
      <c r="B39" s="18" t="inlineStr">
        <is>
          <t>Recover</t>
        </is>
      </c>
      <c r="C39" s="18" t="inlineStr">
        <is>
          <t>RC.RP</t>
        </is>
      </c>
      <c r="D39" s="18" t="n">
        <v>10</v>
      </c>
      <c r="E39" s="18" t="inlineStr">
        <is>
          <t>Are critical systems and data backed up on a regular schedule?</t>
        </is>
      </c>
      <c r="F39" s="15" t="n"/>
      <c r="G39" s="16">
        <f>IF(F39="","",VLOOKUP(F39,Lists!$A$2:$B$6,2,FALSE))</f>
        <v/>
      </c>
      <c r="H39" s="17">
        <f>IF(F39="",0,D39*G39)</f>
        <v/>
      </c>
      <c r="I39" s="15" t="n"/>
      <c r="J39" s="15" t="n"/>
    </row>
    <row r="40">
      <c r="A40" s="14" t="inlineStr">
        <is>
          <t>Q39</t>
        </is>
      </c>
      <c r="B40" s="14" t="inlineStr">
        <is>
          <t>Recover</t>
        </is>
      </c>
      <c r="C40" s="14" t="inlineStr">
        <is>
          <t>RC.RP</t>
        </is>
      </c>
      <c r="D40" s="14" t="n">
        <v>9</v>
      </c>
      <c r="E40" s="14" t="inlineStr">
        <is>
          <t>Are backups restore-tested at planned intervals?</t>
        </is>
      </c>
      <c r="F40" s="15" t="n"/>
      <c r="G40" s="16">
        <f>IF(F40="","",VLOOKUP(F40,Lists!$A$2:$B$6,2,FALSE))</f>
        <v/>
      </c>
      <c r="H40" s="17">
        <f>IF(F40="",0,D40*G40)</f>
        <v/>
      </c>
      <c r="I40" s="15" t="n"/>
      <c r="J40" s="15" t="n"/>
    </row>
    <row r="41">
      <c r="A41" s="18" t="inlineStr">
        <is>
          <t>Q40</t>
        </is>
      </c>
      <c r="B41" s="18" t="inlineStr">
        <is>
          <t>Recover</t>
        </is>
      </c>
      <c r="C41" s="18" t="inlineStr">
        <is>
          <t>RC.RP</t>
        </is>
      </c>
      <c r="D41" s="18" t="n">
        <v>8</v>
      </c>
      <c r="E41" s="18" t="inlineStr">
        <is>
          <t>Is there a business continuity or disaster recovery plan that sets recovery priorities and time targets?</t>
        </is>
      </c>
      <c r="F41" s="15" t="n"/>
      <c r="G41" s="16">
        <f>IF(F41="","",VLOOKUP(F41,Lists!$A$2:$B$6,2,FALSE))</f>
        <v/>
      </c>
      <c r="H41" s="17">
        <f>IF(F41="",0,D41*G41)</f>
        <v/>
      </c>
      <c r="I41" s="15" t="n"/>
      <c r="J41" s="15" t="n"/>
    </row>
    <row r="42">
      <c r="A42" s="14" t="inlineStr">
        <is>
          <t>Q41</t>
        </is>
      </c>
      <c r="B42" s="14" t="inlineStr">
        <is>
          <t>Recover</t>
        </is>
      </c>
      <c r="C42" s="14" t="inlineStr">
        <is>
          <t>RC.CO</t>
        </is>
      </c>
      <c r="D42" s="14" t="n">
        <v>6</v>
      </c>
      <c r="E42" s="14" t="inlineStr">
        <is>
          <t>Does the organization plan how it will communicate with staff and customers during recovery?</t>
        </is>
      </c>
      <c r="F42" s="15" t="n"/>
      <c r="G42" s="16">
        <f>IF(F42="","",VLOOKUP(F42,Lists!$A$2:$B$6,2,FALSE))</f>
        <v/>
      </c>
      <c r="H42" s="17">
        <f>IF(F42="",0,D42*G42)</f>
        <v/>
      </c>
      <c r="I42" s="15" t="n"/>
      <c r="J42" s="15" t="n"/>
    </row>
  </sheetData>
  <conditionalFormatting sqref="F2:F42">
    <cfRule type="cellIs" priority="1" operator="equal" dxfId="0">
      <formula>"Fully (100%)"</formula>
    </cfRule>
    <cfRule type="cellIs" priority="2" operator="equal" dxfId="1">
      <formula>"Almost (75%)"</formula>
    </cfRule>
    <cfRule type="cellIs" priority="3" operator="equal" dxfId="2">
      <formula>"Mostly (50%)"</formula>
    </cfRule>
    <cfRule type="cellIs" priority="4" operator="equal" dxfId="3">
      <formula>"Somewhat (25%)"</formula>
    </cfRule>
    <cfRule type="cellIs" priority="5" operator="equal" dxfId="4">
      <formula>"Not Compliant (0%)"</formula>
    </cfRule>
  </conditionalFormatting>
  <dataValidations count="1">
    <dataValidation sqref="F2 F3 F4 F5 F6 F7 F8 F9 F10 F11 F12 F13 F14 F15 F16 F17 F18 F19 F20 F21 F22 F23 F24 F25 F26 F27 F28 F29 F30 F31 F32 F33 F34 F35 F36 F37 F38 F39 F40 F41 F42" showDropDown="0" showInputMessage="0" showErrorMessage="0" allowBlank="1" errorTitle="Response" error="Pick one of the five response levels from the list." type="list">
      <formula1>=Lists!$A$2:$A$6</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2" customWidth="1" min="1" max="1"/>
    <col width="10" customWidth="1" min="2" max="2"/>
  </cols>
  <sheetData>
    <row r="1">
      <c r="A1" s="4" t="inlineStr">
        <is>
          <t>Response</t>
        </is>
      </c>
      <c r="B1" s="4" t="inlineStr">
        <is>
          <t>Score</t>
        </is>
      </c>
    </row>
    <row r="2">
      <c r="A2" t="inlineStr">
        <is>
          <t>Fully (100%)</t>
        </is>
      </c>
      <c r="B2" s="12" t="n">
        <v>1</v>
      </c>
    </row>
    <row r="3">
      <c r="A3" t="inlineStr">
        <is>
          <t>Almost (75%)</t>
        </is>
      </c>
      <c r="B3" s="12" t="n">
        <v>0.75</v>
      </c>
    </row>
    <row r="4">
      <c r="A4" t="inlineStr">
        <is>
          <t>Mostly (50%)</t>
        </is>
      </c>
      <c r="B4" s="12" t="n">
        <v>0.5</v>
      </c>
    </row>
    <row r="5">
      <c r="A5" t="inlineStr">
        <is>
          <t>Somewhat (25%)</t>
        </is>
      </c>
      <c r="B5" s="12" t="n">
        <v>0.25</v>
      </c>
    </row>
    <row r="6">
      <c r="A6" t="inlineStr">
        <is>
          <t>Not Compliant (0%)</t>
        </is>
      </c>
      <c r="B6" s="1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2026-09-29T16:55:05Z</dcterms:created>
  <dcterms:modified xmlns:dcterms="http://purl.org/dc/terms/" xmlns:xsi="http://www.w3.org/2001/XMLSchema-instance" xsi:type="dcterms:W3CDTF">2026-09-29T16:55:05Z</dcterms:modified>
</cp:coreProperties>
</file>